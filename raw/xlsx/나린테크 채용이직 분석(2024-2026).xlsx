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채용퍼널" sheetId="2" state="visible" r:id="rId2"/>
    <sheet xmlns:r="http://schemas.openxmlformats.org/officeDocument/2006/relationships" name="채널별성과" sheetId="3" state="visible" r:id="rId3"/>
    <sheet xmlns:r="http://schemas.openxmlformats.org/officeDocument/2006/relationships" name="등급별잔존" sheetId="4" state="visible" r:id="rId4"/>
    <sheet xmlns:r="http://schemas.openxmlformats.org/officeDocument/2006/relationships" name="근속별이직" sheetId="5" state="visible" r:id="rId5"/>
    <sheet xmlns:r="http://schemas.openxmlformats.org/officeDocument/2006/relationships" name="퇴사사유분석" sheetId="6" state="visible" r:id="rId6"/>
    <sheet xmlns:r="http://schemas.openxmlformats.org/officeDocument/2006/relationships" name="분기별인력이동" sheetId="7" state="visible" r:id="rId7"/>
  </sheets>
  <definedNames>
    <definedName name="_xlnm._FilterDatabase" localSheetId="1" hidden="1">'채용퍼널'!$A$3:$I$10</definedName>
    <definedName name="_xlnm._FilterDatabase" localSheetId="2" hidden="1">'채널별성과'!$A$3:$I$9</definedName>
    <definedName name="_xlnm._FilterDatabase" localSheetId="3" hidden="1">'등급별잔존'!$A$3:$G$8</definedName>
    <definedName name="_xlnm._FilterDatabase" localSheetId="4" hidden="1">'근속별이직'!$A$3:$F$9</definedName>
    <definedName name="_xlnm._FilterDatabase" localSheetId="5" hidden="1">'퇴사사유분석'!$A$3:$F$11</definedName>
    <definedName name="_xlnm._FilterDatabase" localSheetId="6" hidden="1">'분기별인력이동'!$A$3:$I$14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8">
    <font>
      <name val="Calibri"/>
      <family val="2"/>
      <color theme="1"/>
      <sz val="11"/>
      <scheme val="minor"/>
    </font>
    <font>
      <b val="1"/>
      <color rgb="001F3864"/>
      <sz val="13"/>
    </font>
    <font>
      <i val="1"/>
      <color rgb="00808080"/>
      <sz val="9"/>
    </font>
    <font>
      <b val="1"/>
      <color rgb="00FFFFFF"/>
      <sz val="10"/>
    </font>
    <font>
      <b val="1"/>
    </font>
    <font>
      <b val="1"/>
      <color rgb="001F3864"/>
      <sz val="10"/>
    </font>
    <font>
      <b val="1"/>
      <sz val="10"/>
    </font>
    <font>
      <sz val="10"/>
    </font>
  </fonts>
  <fills count="6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3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 style="thin">
        <color rgb="00B4C6E7"/>
      </right>
      <top style="medium">
        <color rgb="001F3864"/>
      </top>
      <bottom style="thin">
        <color rgb="00B4C6E7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6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5" fillId="4" borderId="0" pivotButton="0" quotePrefix="0" xfId="0"/>
    <xf numFmtId="0" fontId="0" fillId="4" borderId="0" pivotButton="0" quotePrefix="0" xfId="0"/>
    <xf numFmtId="0" fontId="7" fillId="0" borderId="0" applyAlignment="1" pivotButton="0" quotePrefix="0" xfId="0">
      <alignment vertical="top"/>
    </xf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/>
    </xf>
    <xf numFmtId="3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left" vertical="center"/>
    </xf>
    <xf numFmtId="2" fontId="0" fillId="0" borderId="1" applyAlignment="1" pivotButton="0" quotePrefix="0" xfId="0">
      <alignment horizontal="center" vertical="center" wrapText="1"/>
    </xf>
    <xf numFmtId="2" fontId="4" fillId="0" borderId="2" applyAlignment="1" pivotButton="0" quotePrefix="0" xfId="0">
      <alignment horizontal="center" vertical="center" wrapText="1"/>
    </xf>
    <xf numFmtId="0" fontId="5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채널별 평균 등급점수 (S=4 … D=0)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'채널별성과'!E3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'채널별성과'!$A$4:$A$8</f>
            </numRef>
          </cat>
          <val>
            <numRef>
              <f>'채널별성과'!$E$4:$E$8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평균등급점수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채널별 수습통과율 · 자발이직률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'채널별성과'!D3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'채널별성과'!$A$4:$A$8</f>
            </numRef>
          </cat>
          <val>
            <numRef>
              <f>'채널별성과'!$D$4:$D$8</f>
            </numRef>
          </val>
        </ser>
        <ser>
          <idx val="1"/>
          <order val="1"/>
          <tx>
            <strRef>
              <f>'채널별성과'!H3</f>
            </strRef>
          </tx>
          <spPr>
            <a:ln xmlns:a="http://schemas.openxmlformats.org/drawingml/2006/main">
              <a:prstDash val="solid"/>
            </a:ln>
          </spPr>
          <cat>
            <numRef>
              <f>'채널별성과'!$A$4:$A$8</f>
            </numRef>
          </cat>
          <val>
            <numRef>
              <f>'채널별성과'!$H$4:$H$8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비율(%)</a:t>
                </a:r>
              </a:p>
            </rich>
          </tx>
        </title>
        <numFmt formatCode="0.0&quot;%&quot;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등급별 자발 이직률 — S에서 D로 갈수록 상승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'등급별잔존'!F3</f>
            </strRef>
          </tx>
          <spPr>
            <a:ln xmlns:a="http://schemas.openxmlformats.org/drawingml/2006/main">
              <a:prstDash val="solid"/>
            </a:ln>
          </spPr>
          <cat>
            <numRef>
              <f>'등급별잔존'!$A$4:$A$8</f>
            </numRef>
          </cat>
          <val>
            <numRef>
              <f>'등급별잔존'!$F$4:$F$8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자발이직률(%)</a:t>
                </a:r>
              </a:p>
            </rich>
          </tx>
        </title>
        <numFmt formatCode="0.0&quot;%&quot;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근속 구간별 자발 이직률 — 1~2.5년 구간이 피크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'근속별이직'!D3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'근속별이직'!$A$4:$A$8</f>
            </numRef>
          </cat>
          <val>
            <numRef>
              <f>'근속별이직'!$D$4:$D$8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자발이직률(%)</a:t>
                </a:r>
              </a:p>
            </rich>
          </tx>
        </title>
        <numFmt formatCode="0.0&quot;%&quot;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8" customWidth="1" min="2" max="2"/>
  </cols>
  <sheetData>
    <row r="1">
      <c r="A1" s="1" t="inlineStr">
        <is>
          <t>(주)나린테크 채용이직 분석 (2024-2026) — README</t>
        </is>
      </c>
      <c r="B1" s="2" t="n"/>
    </row>
    <row r="3">
      <c r="A3" s="3" t="inlineStr">
        <is>
          <t>생성일</t>
        </is>
      </c>
      <c r="B3" s="4" t="inlineStr">
        <is>
          <t>2026-08-26 기준 스냅샷 / 근속 기준일 2026-06-30</t>
        </is>
      </c>
    </row>
    <row r="4">
      <c r="A4" s="3" t="inlineStr">
        <is>
          <t>모집단</t>
        </is>
      </c>
      <c r="B4" s="4" t="inlineStr">
        <is>
          <t>전체 284명 (기초 인원 165명 + 2024-Q1 이후 신입 119명), 기말 재직 212명, 퇴사 72명</t>
        </is>
      </c>
    </row>
    <row r="6">
      <c r="A6" s="5" t="inlineStr">
        <is>
          <t>■ 시트 구성</t>
        </is>
      </c>
      <c r="B6" s="6" t="n"/>
    </row>
    <row r="7">
      <c r="A7" s="3" t="inlineStr">
        <is>
          <t>채용퍼널</t>
        </is>
      </c>
      <c r="B7" s="4" t="inlineStr">
        <is>
          <t>2025-Q1~2026-Q2 6개 분기의 지원→서류→면접→최종합격 전환율. 출처는 data.FUNNEL 이고 최종합격 인원은 분기 채용 인원과 같다.</t>
        </is>
      </c>
    </row>
    <row r="8">
      <c r="A8" s="3" t="inlineStr">
        <is>
          <t>채널별성과</t>
        </is>
      </c>
      <c r="B8" s="4" t="inlineStr">
        <is>
          <t>[핵심] 채용 채널 5종별 수습통과율·평균등급점수·S+A 비율·자발이직률·평균근속. 신입 119명만 대상.</t>
        </is>
      </c>
    </row>
    <row r="9">
      <c r="A9" s="3" t="inlineStr">
        <is>
          <t>등급별잔존</t>
        </is>
      </c>
      <c r="B9" s="4" t="inlineStr">
        <is>
          <t>[핵심] 평가 등급과 이직의 관계. 주표는 등급 경험자 기준(연인원), 보조표는 최종등급 기준(1인 1행).</t>
        </is>
      </c>
    </row>
    <row r="10">
      <c r="A10" s="3" t="inlineStr">
        <is>
          <t>근속별이직</t>
        </is>
      </c>
      <c r="B10" s="4" t="inlineStr">
        <is>
          <t>[핵심] 근속 5개 구간별 자발/비자발 이직과 평균 등급점수.</t>
        </is>
      </c>
    </row>
    <row r="11">
      <c r="A11" s="3" t="inlineStr">
        <is>
          <t>퇴사사유분석</t>
        </is>
      </c>
      <c r="B11" s="4" t="inlineStr">
        <is>
          <t>roster.py 가 부여한 실제 term_reason 7종의 건수·비중·평균근속·평균등급점수·주요본부.</t>
        </is>
      </c>
    </row>
    <row r="12">
      <c r="A12" s="3" t="inlineStr">
        <is>
          <t>분기별인력이동</t>
        </is>
      </c>
      <c r="B12" s="4" t="inlineStr">
        <is>
          <t>10개 분기의 기초/채용/퇴사/자발/비자발/기말/순증/분기이직률. 로스터 실집계이며 data.QUARTERS 와 전량 대조 검증했다.</t>
        </is>
      </c>
    </row>
    <row r="14">
      <c r="A14" s="5" t="inlineStr">
        <is>
          <t>■ 이 데이터셋에서 확인 가능한 상관관계</t>
        </is>
      </c>
      <c r="B14" s="6" t="n"/>
    </row>
    <row r="15">
      <c r="A15" s="3" t="inlineStr">
        <is>
          <t>① 등급 ↔ 이직</t>
        </is>
      </c>
      <c r="B15" s="4" t="inlineStr">
        <is>
          <t>평가 등급이 낮을수록 자발 이직률이 계단식으로 올라간다 — S 2.8% → A 6.8% → B 13.7% → C 22.2% → D 23.1% (S 대비 C는 약 7.9배).</t>
        </is>
      </c>
    </row>
    <row r="16">
      <c r="A16" s="7" t="inlineStr"/>
      <c r="B16" s="4" t="inlineStr">
        <is>
          <t>등급 경험자 기준 모집단은 S 36명·A 88명·B 161명·C 63명·D 13명. 중복 없는 최종등급 기준(같은 시트 보조표)에서도 S 5.6% → A 6.5% → B 14.3% → C 28.6% → D 33.3% 로 같은 방향이 재현된다. 『등급별잔존』 시트의 막대 차트에서 바로 보인다. 다만 평균근속은 등급과 단조 관계가 아니다 — 등급 보유자는 최소 한 번의 반기 평가를 넘긴 생존자라 S 4.49년·D 5.62년으로 오히려 저평가군이 길다.</t>
        </is>
      </c>
    </row>
    <row r="17">
      <c r="A17" s="3" t="inlineStr">
        <is>
          <t>② 근속 ↔ 이직</t>
        </is>
      </c>
      <c r="B17" s="4" t="inlineStr">
        <is>
          <t>자발 이직은 근속 1~2.5년 구간에서 33.3%로 정점을 찍는다 — 그 앞 구간(1년 미만 21.7%)보다도, 뒤 구간(2.5~5년 24.6%)보다도 높고, 5~10년 구간에서는 8.0%까지 내려간다.</t>
        </is>
      </c>
    </row>
    <row r="18">
      <c r="A18" s="7" t="inlineStr"/>
      <c r="B18" s="4" t="inlineStr">
        <is>
          <t>구간별 자발이직률: 1년 미만 21.7%(69명 중 15명) / 1~2.5년 33.3%(63명 중 21명) / 2.5~5년 24.6%(61명 중 15명) / 5~10년 8.0%(87명 중 7명) / 10년 이상 0.0%(4명 중 0명). 입사 1년 미만보다 1~2.5년차가 더 위험한 구간이라는 뜻이다. 마지막 10년 이상 구간은 4명뿐이라 비율의 신뢰도가 낮다.</t>
        </is>
      </c>
    </row>
    <row r="19">
      <c r="A19" s="3" t="inlineStr">
        <is>
          <t>③ 채널 ↔ 성과</t>
        </is>
      </c>
      <c r="B19" s="4" t="inlineStr">
        <is>
          <t>채용 채널에 따라 입사 후 성과가 갈린다 — 직원추천 출신의 평균 등급점수가 2.52로 가장 높고 커리어페어 출신이 1.64로 가장 낮다(차이 0.88점).</t>
        </is>
      </c>
    </row>
    <row r="20">
      <c r="A20" s="7" t="inlineStr"/>
      <c r="B20" s="4" t="inlineStr">
        <is>
          <t>채널별 (평균등급점수 / S+A 비율 / 수습통과율 / 자발이직률): 직원추천 2.52·44.8%·95.0%·15.0% / 채용공고 2.00·16.0%·86.8%·26.3% / 헤드헌팅 2.27·27.3%·94.1%·23.5% / 커리어페어 1.64·9.1%·86.7%·20.0% / 인턴전환 2.29·42.9%·77.8%·22.2%. 신입 119명 기준.</t>
        </is>
      </c>
    </row>
    <row r="22">
      <c r="A22" s="5" t="inlineStr">
        <is>
          <t>■ 집계 기준 (해석 시 주의)</t>
        </is>
      </c>
      <c r="B22" s="6" t="n"/>
    </row>
    <row r="23">
      <c r="A23" s="3" t="inlineStr">
        <is>
          <t>등급 경험자 기준</t>
        </is>
      </c>
      <c r="B23" s="4" t="inlineStr">
        <is>
          <t>등급별잔존 주표는 '해당 등급을 한 번이라도 받은 사람'을 센다. 한 사람이 반기마다 다른 등급을 받으면 여러 행에 중복 계상되므로 인원 합(361명)이 전체 인원(284명)보다 크다. 이는 의도된 연인원 집계이며, 그래서 주표에는 합계 행을 두지 않았다.</t>
        </is>
      </c>
    </row>
    <row r="24">
      <c r="A24" s="3" t="inlineStr">
        <is>
          <t>최종등급 기준</t>
        </is>
      </c>
      <c r="B24" s="4" t="inlineStr">
        <is>
          <t>같은 시트의 보조표는 가장 최근 평가 차수의 등급으로 1인 1행만 센다. 첫 평가 전에 퇴사해 등급이 없는 50명은 '미평가' 행으로 분리했고, 합계 284명은 전체 인원과 정확히 일치한다.</t>
        </is>
      </c>
    </row>
    <row r="25">
      <c r="A25" s="3" t="inlineStr">
        <is>
          <t>평균등급점수</t>
        </is>
      </c>
      <c r="B25" s="4" t="inlineStr">
        <is>
          <t>roster._grade_score(S=4·A=3·B=2·C=1·D=0)를 최종등급에 적용한 값의 평균. 이 함수는 등급 이력이 없으면 기본 2(=B)를 돌려주므로, 존재하지 않는 B가 섞이지 않도록 등급 보유자만 평균 대상으로 삼았다.</t>
        </is>
      </c>
    </row>
    <row r="26">
      <c r="A26" s="3" t="inlineStr">
        <is>
          <t>근속(년)</t>
        </is>
      </c>
      <c r="B26" s="4" t="inlineStr">
        <is>
          <t>퇴사자는 입사일→퇴사일, 재직자는 입사일→2026-06-30. roster.tenure_years() 와 동일.</t>
        </is>
      </c>
    </row>
    <row r="27">
      <c r="A27" s="3" t="inlineStr">
        <is>
          <t>분기이직률</t>
        </is>
      </c>
      <c r="B27" s="4" t="inlineStr">
        <is>
          <t>자발퇴사 ÷ 평균인원((기초+기말)/2) × 100. data.year_summary() 의 이직률 정의와 같으며 연환산하지 않은 분기 실측치다.</t>
        </is>
      </c>
    </row>
    <row r="29">
      <c r="A29" s="5" t="inlineStr">
        <is>
          <t>■ 데이터 출처와 재현 방법</t>
        </is>
      </c>
      <c r="B29" s="6" t="n"/>
    </row>
    <row r="30">
      <c r="A30" s="3" t="inlineStr">
        <is>
          <t>단일 진실원</t>
        </is>
      </c>
      <c r="B30" s="4" t="inlineStr">
        <is>
          <t>data.py — 분기별 인력 이동(QUARTERS), 반기 등급 분포(HALVES), 수습 전환(PROBATION), 채용 퍼널(FUNNEL), 부서 배분(DEPT_SHARE).</t>
        </is>
      </c>
    </row>
    <row r="31">
      <c r="A31" s="3" t="inlineStr">
        <is>
          <t>개인 로스터</t>
        </is>
      </c>
      <c r="B31" s="4" t="inlineStr">
        <is>
          <t>roster.py — data.py 의 집계 수치를 정확히 재현하는 개인 레코드를 결정론적으로 생성한다. seed = 20260826 (roster.SEED). 같은 seed면 언제 실행해도 같은 로스터가 나온다.</t>
        </is>
      </c>
    </row>
    <row r="32">
      <c r="A32" s="3" t="inlineStr">
        <is>
          <t>생성 스크립트</t>
        </is>
      </c>
      <c r="B32" s="4" t="inlineStr">
        <is>
          <t>projects/hr-sample/config/scripts/gen_xlsx_talent.py</t>
        </is>
      </c>
    </row>
    <row r="33">
      <c r="A33" s="3" t="inlineStr">
        <is>
          <t>재현 절차</t>
        </is>
      </c>
      <c r="B33" s="4" t="inlineStr">
        <is>
          <t>1) 위 scripts 디렉터리로 이동  2) openpyxl 이 설치된 파이썬으로 `python gen_xlsx_talent.py` 실행  3) ~/Documents/hr-samples/ 아래에 같은 파일이 다시 만들어진다. 스크립트 내장 검증(분기 집계 대조·인원 합계·신호 단조성)이 하나라도 실패하면 파일을 저장하지 않는다.</t>
        </is>
      </c>
    </row>
    <row r="34">
      <c r="A34" s="3" t="inlineStr">
        <is>
          <t>검증 결과</t>
        </is>
      </c>
      <c r="B34" s="4" t="inlineStr">
        <is>
          <t>분기 집계 대조 70건(10개 분기 × 7개 항목) 전량 일치, 채널 채용인원 합 = 신입 총원 119명, 최종등급 보조표 합 = 전체 284명(중복 없음), 근속 구간 합 = 전체 284명, 등급별 자발이직률 S&lt;A&lt;B&lt;C 단조 증가 확인.</t>
        </is>
      </c>
    </row>
    <row r="36">
      <c r="A36" s="5" t="inlineStr">
        <is>
          <t>■ 고지</t>
        </is>
      </c>
      <c r="B36" s="6" t="n"/>
    </row>
    <row r="37">
      <c r="A37" s="3" t="inlineStr">
        <is>
          <t>가상 목업 데이터</t>
        </is>
      </c>
      <c r="B37" s="4" t="inlineStr">
        <is>
          <t>※ 본 문서는 지식관리 파이프라인 검증용 가상 샘플이다. 실존 기업·인물과 무관하다. 본 워크북의 회사명·조직·인원·평가 등급·퇴사 사유는 지식관리 파이프라인 검증을 위해 생성한 가상 목업 데이터이며, 실존하는 기업·단체·인물과 아무런 관련이 없다. 실제 인사 의사결정의 근거로 사용해서는 안 된다.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4" customWidth="1" min="4" max="4"/>
    <col width="11" customWidth="1" min="5" max="5"/>
    <col width="14" customWidth="1" min="6" max="6"/>
    <col width="11" customWidth="1" min="7" max="7"/>
    <col width="14" customWidth="1" min="8" max="8"/>
    <col width="14" customWidth="1" min="9" max="9"/>
  </cols>
  <sheetData>
    <row r="1">
      <c r="A1" s="8" t="inlineStr">
        <is>
          <t>분기별 채용 퍼널 (2025-Q1 ~ 2026-Q2)</t>
        </is>
      </c>
    </row>
    <row r="2">
      <c r="A2" s="9" t="inlineStr">
        <is>
          <t>출처: data.FUNNEL. 각 전환율은 직전 단계 대비이며, 전체전환율만 지원자 대비다. 최종합격 인원은 data.QUARTERS 의 분기 채용 인원과 동일하다.</t>
        </is>
      </c>
    </row>
    <row r="3" ht="30" customHeight="1">
      <c r="A3" s="10" t="inlineStr">
        <is>
          <t>분기</t>
        </is>
      </c>
      <c r="B3" s="10" t="inlineStr">
        <is>
          <t>지원자</t>
        </is>
      </c>
      <c r="C3" s="10" t="inlineStr">
        <is>
          <t>서류통과</t>
        </is>
      </c>
      <c r="D3" s="10" t="inlineStr">
        <is>
          <t>서류통과율(%)</t>
        </is>
      </c>
      <c r="E3" s="10" t="inlineStr">
        <is>
          <t>면접진행</t>
        </is>
      </c>
      <c r="F3" s="10" t="inlineStr">
        <is>
          <t>면접전환율(%)</t>
        </is>
      </c>
      <c r="G3" s="10" t="inlineStr">
        <is>
          <t>최종합격</t>
        </is>
      </c>
      <c r="H3" s="10" t="inlineStr">
        <is>
          <t>합격전환율(%)</t>
        </is>
      </c>
      <c r="I3" s="10" t="inlineStr">
        <is>
          <t>전체전환율(%)</t>
        </is>
      </c>
    </row>
    <row r="4">
      <c r="A4" s="11" t="inlineStr">
        <is>
          <t>2025-Q1</t>
        </is>
      </c>
      <c r="B4" s="12" t="n">
        <v>312</v>
      </c>
      <c r="C4" s="12" t="n">
        <v>84</v>
      </c>
      <c r="D4" s="13" t="n">
        <v>26.9</v>
      </c>
      <c r="E4" s="12" t="n">
        <v>41</v>
      </c>
      <c r="F4" s="13" t="n">
        <v>48.8</v>
      </c>
      <c r="G4" s="12" t="n">
        <v>13</v>
      </c>
      <c r="H4" s="13" t="n">
        <v>31.7</v>
      </c>
      <c r="I4" s="13" t="n">
        <v>4.2</v>
      </c>
    </row>
    <row r="5">
      <c r="A5" s="11" t="inlineStr">
        <is>
          <t>2025-Q2</t>
        </is>
      </c>
      <c r="B5" s="12" t="n">
        <v>298</v>
      </c>
      <c r="C5" s="12" t="n">
        <v>79</v>
      </c>
      <c r="D5" s="13" t="n">
        <v>26.5</v>
      </c>
      <c r="E5" s="12" t="n">
        <v>38</v>
      </c>
      <c r="F5" s="13" t="n">
        <v>48.1</v>
      </c>
      <c r="G5" s="12" t="n">
        <v>12</v>
      </c>
      <c r="H5" s="13" t="n">
        <v>31.6</v>
      </c>
      <c r="I5" s="13" t="n">
        <v>4</v>
      </c>
    </row>
    <row r="6">
      <c r="A6" s="11" t="inlineStr">
        <is>
          <t>2025-Q3</t>
        </is>
      </c>
      <c r="B6" s="12" t="n">
        <v>256</v>
      </c>
      <c r="C6" s="12" t="n">
        <v>68</v>
      </c>
      <c r="D6" s="13" t="n">
        <v>26.6</v>
      </c>
      <c r="E6" s="12" t="n">
        <v>33</v>
      </c>
      <c r="F6" s="13" t="n">
        <v>48.5</v>
      </c>
      <c r="G6" s="12" t="n">
        <v>10</v>
      </c>
      <c r="H6" s="13" t="n">
        <v>30.3</v>
      </c>
      <c r="I6" s="13" t="n">
        <v>3.9</v>
      </c>
    </row>
    <row r="7">
      <c r="A7" s="11" t="inlineStr">
        <is>
          <t>2025-Q4</t>
        </is>
      </c>
      <c r="B7" s="12" t="n">
        <v>341</v>
      </c>
      <c r="C7" s="12" t="n">
        <v>91</v>
      </c>
      <c r="D7" s="13" t="n">
        <v>26.7</v>
      </c>
      <c r="E7" s="12" t="n">
        <v>44</v>
      </c>
      <c r="F7" s="13" t="n">
        <v>48.4</v>
      </c>
      <c r="G7" s="12" t="n">
        <v>14</v>
      </c>
      <c r="H7" s="13" t="n">
        <v>31.8</v>
      </c>
      <c r="I7" s="13" t="n">
        <v>4.1</v>
      </c>
    </row>
    <row r="8">
      <c r="A8" s="11" t="inlineStr">
        <is>
          <t>2026-Q1</t>
        </is>
      </c>
      <c r="B8" s="12" t="n">
        <v>289</v>
      </c>
      <c r="C8" s="12" t="n">
        <v>77</v>
      </c>
      <c r="D8" s="13" t="n">
        <v>26.6</v>
      </c>
      <c r="E8" s="12" t="n">
        <v>37</v>
      </c>
      <c r="F8" s="13" t="n">
        <v>48.1</v>
      </c>
      <c r="G8" s="12" t="n">
        <v>12</v>
      </c>
      <c r="H8" s="13" t="n">
        <v>32.4</v>
      </c>
      <c r="I8" s="13" t="n">
        <v>4.2</v>
      </c>
    </row>
    <row r="9">
      <c r="A9" s="11" t="inlineStr">
        <is>
          <t>2026-Q2</t>
        </is>
      </c>
      <c r="B9" s="12" t="n">
        <v>378</v>
      </c>
      <c r="C9" s="12" t="n">
        <v>102</v>
      </c>
      <c r="D9" s="13" t="n">
        <v>27</v>
      </c>
      <c r="E9" s="12" t="n">
        <v>49</v>
      </c>
      <c r="F9" s="13" t="n">
        <v>48</v>
      </c>
      <c r="G9" s="12" t="n">
        <v>16</v>
      </c>
      <c r="H9" s="13" t="n">
        <v>32.7</v>
      </c>
      <c r="I9" s="13" t="n">
        <v>4.2</v>
      </c>
    </row>
    <row r="10">
      <c r="A10" s="14" t="inlineStr">
        <is>
          <t>합계</t>
        </is>
      </c>
      <c r="B10" s="15" t="n">
        <v>1874</v>
      </c>
      <c r="C10" s="15" t="n">
        <v>501</v>
      </c>
      <c r="D10" s="16" t="n">
        <v>26.7</v>
      </c>
      <c r="E10" s="15" t="n">
        <v>242</v>
      </c>
      <c r="F10" s="16" t="n">
        <v>48.3</v>
      </c>
      <c r="G10" s="15" t="n">
        <v>77</v>
      </c>
      <c r="H10" s="16" t="n">
        <v>31.8</v>
      </c>
      <c r="I10" s="16" t="n">
        <v>4.1</v>
      </c>
    </row>
  </sheetData>
  <autoFilter ref="A3:I10"/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4" customWidth="1" min="4" max="4"/>
    <col width="14" customWidth="1" min="5" max="5"/>
    <col width="13" customWidth="1" min="6" max="6"/>
    <col width="11" customWidth="1" min="7" max="7"/>
    <col width="14" customWidth="1" min="8" max="8"/>
    <col width="13" customWidth="1" min="9" max="9"/>
  </cols>
  <sheetData>
    <row r="1">
      <c r="A1" s="17" t="inlineStr">
        <is>
          <t>[핵심] 채용 채널별 입사 후 성과·잔존</t>
        </is>
      </c>
    </row>
    <row r="2">
      <c r="A2" s="9" t="inlineStr">
        <is>
          <t>대상: 2024-Q1 이후 입사한 신입만 (기초 인원은 채널 정보가 없다). 평균등급점수는 등급 보유자의 최종등급 점수 평균(S=4·A=3·B=2·C=1·D=0), S+A 비율은 등급 보유자 중 최종등급이 S 또는 A 인 비율. 근속 기준일 2026-06-30. 신입은 관측 창이 최대 2.5년이라 평균근속의 절대값은 짧다 — 채널 간 비교로만 읽는다.</t>
        </is>
      </c>
    </row>
    <row r="3" ht="30" customHeight="1">
      <c r="A3" s="10" t="inlineStr">
        <is>
          <t>채용채널</t>
        </is>
      </c>
      <c r="B3" s="10" t="inlineStr">
        <is>
          <t>채용인원</t>
        </is>
      </c>
      <c r="C3" s="10" t="inlineStr">
        <is>
          <t>수습통과</t>
        </is>
      </c>
      <c r="D3" s="10" t="inlineStr">
        <is>
          <t>수습통과율(%)</t>
        </is>
      </c>
      <c r="E3" s="10" t="inlineStr">
        <is>
          <t>평균등급점수</t>
        </is>
      </c>
      <c r="F3" s="10" t="inlineStr">
        <is>
          <t>S+A 비율(%)</t>
        </is>
      </c>
      <c r="G3" s="10" t="inlineStr">
        <is>
          <t>자발퇴사</t>
        </is>
      </c>
      <c r="H3" s="10" t="inlineStr">
        <is>
          <t>자발이직률(%)</t>
        </is>
      </c>
      <c r="I3" s="10" t="inlineStr">
        <is>
          <t>평균근속(년)</t>
        </is>
      </c>
    </row>
    <row r="4">
      <c r="A4" s="11" t="inlineStr">
        <is>
          <t>직원추천</t>
        </is>
      </c>
      <c r="B4" s="12" t="n">
        <v>40</v>
      </c>
      <c r="C4" s="12" t="n">
        <v>38</v>
      </c>
      <c r="D4" s="13" t="n">
        <v>95</v>
      </c>
      <c r="E4" s="18" t="n">
        <v>2.52</v>
      </c>
      <c r="F4" s="13" t="n">
        <v>44.8</v>
      </c>
      <c r="G4" s="12" t="n">
        <v>6</v>
      </c>
      <c r="H4" s="13" t="n">
        <v>15</v>
      </c>
      <c r="I4" s="18" t="n">
        <v>0.93</v>
      </c>
    </row>
    <row r="5">
      <c r="A5" s="11" t="inlineStr">
        <is>
          <t>채용공고</t>
        </is>
      </c>
      <c r="B5" s="12" t="n">
        <v>38</v>
      </c>
      <c r="C5" s="12" t="n">
        <v>33</v>
      </c>
      <c r="D5" s="13" t="n">
        <v>86.8</v>
      </c>
      <c r="E5" s="18" t="n">
        <v>2</v>
      </c>
      <c r="F5" s="13" t="n">
        <v>16</v>
      </c>
      <c r="G5" s="12" t="n">
        <v>10</v>
      </c>
      <c r="H5" s="13" t="n">
        <v>26.3</v>
      </c>
      <c r="I5" s="18" t="n">
        <v>0.9399999999999999</v>
      </c>
    </row>
    <row r="6">
      <c r="A6" s="11" t="inlineStr">
        <is>
          <t>헤드헌팅</t>
        </is>
      </c>
      <c r="B6" s="12" t="n">
        <v>17</v>
      </c>
      <c r="C6" s="12" t="n">
        <v>16</v>
      </c>
      <c r="D6" s="13" t="n">
        <v>94.09999999999999</v>
      </c>
      <c r="E6" s="18" t="n">
        <v>2.27</v>
      </c>
      <c r="F6" s="13" t="n">
        <v>27.3</v>
      </c>
      <c r="G6" s="12" t="n">
        <v>4</v>
      </c>
      <c r="H6" s="13" t="n">
        <v>23.5</v>
      </c>
      <c r="I6" s="18" t="n">
        <v>0.9</v>
      </c>
    </row>
    <row r="7">
      <c r="A7" s="11" t="inlineStr">
        <is>
          <t>커리어페어</t>
        </is>
      </c>
      <c r="B7" s="12" t="n">
        <v>15</v>
      </c>
      <c r="C7" s="12" t="n">
        <v>13</v>
      </c>
      <c r="D7" s="13" t="n">
        <v>86.7</v>
      </c>
      <c r="E7" s="18" t="n">
        <v>1.64</v>
      </c>
      <c r="F7" s="13" t="n">
        <v>9.1</v>
      </c>
      <c r="G7" s="12" t="n">
        <v>3</v>
      </c>
      <c r="H7" s="13" t="n">
        <v>20</v>
      </c>
      <c r="I7" s="18" t="n">
        <v>0.93</v>
      </c>
    </row>
    <row r="8">
      <c r="A8" s="11" t="inlineStr">
        <is>
          <t>인턴전환</t>
        </is>
      </c>
      <c r="B8" s="12" t="n">
        <v>9</v>
      </c>
      <c r="C8" s="12" t="n">
        <v>7</v>
      </c>
      <c r="D8" s="13" t="n">
        <v>77.8</v>
      </c>
      <c r="E8" s="18" t="n">
        <v>2.29</v>
      </c>
      <c r="F8" s="13" t="n">
        <v>42.9</v>
      </c>
      <c r="G8" s="12" t="n">
        <v>2</v>
      </c>
      <c r="H8" s="13" t="n">
        <v>22.2</v>
      </c>
      <c r="I8" s="18" t="n">
        <v>0.91</v>
      </c>
    </row>
    <row r="9">
      <c r="A9" s="14" t="inlineStr">
        <is>
          <t>합계</t>
        </is>
      </c>
      <c r="B9" s="15" t="n">
        <v>119</v>
      </c>
      <c r="C9" s="15" t="n">
        <v>107</v>
      </c>
      <c r="D9" s="16" t="n">
        <v>89.90000000000001</v>
      </c>
      <c r="E9" s="19" t="n">
        <v>2.19</v>
      </c>
      <c r="F9" s="16" t="n">
        <v>28.9</v>
      </c>
      <c r="G9" s="15" t="n">
        <v>25</v>
      </c>
      <c r="H9" s="16" t="n">
        <v>21</v>
      </c>
      <c r="I9" s="19" t="n">
        <v>0.93</v>
      </c>
    </row>
  </sheetData>
  <autoFilter ref="A3:I9"/>
  <mergeCells count="2">
    <mergeCell ref="A1:I1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2" customWidth="1" min="4" max="4"/>
    <col width="13" customWidth="1" min="5" max="5"/>
    <col width="15" customWidth="1" min="6" max="6"/>
    <col width="13" customWidth="1" min="7" max="7"/>
  </cols>
  <sheetData>
    <row r="1">
      <c r="A1" s="17" t="inlineStr">
        <is>
          <t>[핵심] 평가 등급별 잔존·이직</t>
        </is>
      </c>
    </row>
    <row r="2">
      <c r="A2" s="9" t="inlineStr">
        <is>
          <t>주표는 '등급 경험자' 기준 — 해당 등급을 한 번이라도 받은 사람을 센다. 한 사람이 반기마다 다른 등급을 받을 수 있어 연인원이며 합계는 중복 계상되므로 합계 행을 두지 않는다. 중복 없는 집계는 아래 보조표(최종등급 기준)를 본다.</t>
        </is>
      </c>
    </row>
    <row r="3" ht="30" customHeight="1">
      <c r="A3" s="10" t="inlineStr">
        <is>
          <t>최종등급</t>
        </is>
      </c>
      <c r="B3" s="10" t="inlineStr">
        <is>
          <t>인원</t>
        </is>
      </c>
      <c r="C3" s="10" t="inlineStr">
        <is>
          <t>재직</t>
        </is>
      </c>
      <c r="D3" s="10" t="inlineStr">
        <is>
          <t>자발퇴사</t>
        </is>
      </c>
      <c r="E3" s="10" t="inlineStr">
        <is>
          <t>비자발퇴사</t>
        </is>
      </c>
      <c r="F3" s="10" t="inlineStr">
        <is>
          <t>자발이직률(%)</t>
        </is>
      </c>
      <c r="G3" s="10" t="inlineStr">
        <is>
          <t>평균근속(년)</t>
        </is>
      </c>
    </row>
    <row r="4">
      <c r="A4" s="11" t="inlineStr">
        <is>
          <t>S</t>
        </is>
      </c>
      <c r="B4" s="12" t="n">
        <v>36</v>
      </c>
      <c r="C4" s="12" t="n">
        <v>35</v>
      </c>
      <c r="D4" s="12" t="n">
        <v>1</v>
      </c>
      <c r="E4" s="12" t="n">
        <v>0</v>
      </c>
      <c r="F4" s="13" t="n">
        <v>2.8</v>
      </c>
      <c r="G4" s="18" t="n">
        <v>4.49</v>
      </c>
    </row>
    <row r="5">
      <c r="A5" s="11" t="inlineStr">
        <is>
          <t>A</t>
        </is>
      </c>
      <c r="B5" s="12" t="n">
        <v>88</v>
      </c>
      <c r="C5" s="12" t="n">
        <v>82</v>
      </c>
      <c r="D5" s="12" t="n">
        <v>6</v>
      </c>
      <c r="E5" s="12" t="n">
        <v>0</v>
      </c>
      <c r="F5" s="13" t="n">
        <v>6.8</v>
      </c>
      <c r="G5" s="18" t="n">
        <v>4.39</v>
      </c>
    </row>
    <row r="6">
      <c r="A6" s="11" t="inlineStr">
        <is>
          <t>B</t>
        </is>
      </c>
      <c r="B6" s="12" t="n">
        <v>161</v>
      </c>
      <c r="C6" s="12" t="n">
        <v>138</v>
      </c>
      <c r="D6" s="12" t="n">
        <v>22</v>
      </c>
      <c r="E6" s="12" t="n">
        <v>1</v>
      </c>
      <c r="F6" s="13" t="n">
        <v>13.7</v>
      </c>
      <c r="G6" s="18" t="n">
        <v>4.18</v>
      </c>
    </row>
    <row r="7">
      <c r="A7" s="11" t="inlineStr">
        <is>
          <t>C</t>
        </is>
      </c>
      <c r="B7" s="12" t="n">
        <v>63</v>
      </c>
      <c r="C7" s="12" t="n">
        <v>47</v>
      </c>
      <c r="D7" s="12" t="n">
        <v>14</v>
      </c>
      <c r="E7" s="12" t="n">
        <v>2</v>
      </c>
      <c r="F7" s="13" t="n">
        <v>22.2</v>
      </c>
      <c r="G7" s="18" t="n">
        <v>4.88</v>
      </c>
    </row>
    <row r="8">
      <c r="A8" s="11" t="inlineStr">
        <is>
          <t>D</t>
        </is>
      </c>
      <c r="B8" s="12" t="n">
        <v>13</v>
      </c>
      <c r="C8" s="12" t="n">
        <v>10</v>
      </c>
      <c r="D8" s="12" t="n">
        <v>3</v>
      </c>
      <c r="E8" s="12" t="n">
        <v>0</v>
      </c>
      <c r="F8" s="13" t="n">
        <v>23.1</v>
      </c>
      <c r="G8" s="18" t="n">
        <v>5.62</v>
      </c>
    </row>
    <row r="11">
      <c r="A11" s="20" t="inlineStr">
        <is>
          <t>※ 보조표 — 최종등급 기준 (1인 1행, 중복 없음). 합계가 전체 인원과 일치한다.</t>
        </is>
      </c>
    </row>
    <row r="12">
      <c r="A12" s="21" t="inlineStr">
        <is>
          <t>최종등급</t>
        </is>
      </c>
      <c r="B12" s="21" t="inlineStr">
        <is>
          <t>인원</t>
        </is>
      </c>
      <c r="C12" s="21" t="inlineStr">
        <is>
          <t>재직</t>
        </is>
      </c>
      <c r="D12" s="21" t="inlineStr">
        <is>
          <t>자발퇴사</t>
        </is>
      </c>
      <c r="E12" s="21" t="inlineStr">
        <is>
          <t>비자발퇴사</t>
        </is>
      </c>
      <c r="F12" s="21" t="inlineStr">
        <is>
          <t>자발이직률(%)</t>
        </is>
      </c>
      <c r="G12" s="21" t="inlineStr">
        <is>
          <t>평균근속(년)</t>
        </is>
      </c>
    </row>
    <row r="13">
      <c r="A13" s="11" t="inlineStr">
        <is>
          <t>S</t>
        </is>
      </c>
      <c r="B13" s="12" t="n">
        <v>18</v>
      </c>
      <c r="C13" s="12" t="n">
        <v>17</v>
      </c>
      <c r="D13" s="12" t="n">
        <v>1</v>
      </c>
      <c r="E13" s="12" t="n">
        <v>0</v>
      </c>
      <c r="F13" s="13" t="n">
        <v>5.6</v>
      </c>
      <c r="G13" s="18" t="n">
        <v>4.34</v>
      </c>
    </row>
    <row r="14">
      <c r="A14" s="11" t="inlineStr">
        <is>
          <t>A</t>
        </is>
      </c>
      <c r="B14" s="12" t="n">
        <v>46</v>
      </c>
      <c r="C14" s="12" t="n">
        <v>43</v>
      </c>
      <c r="D14" s="12" t="n">
        <v>3</v>
      </c>
      <c r="E14" s="12" t="n">
        <v>0</v>
      </c>
      <c r="F14" s="13" t="n">
        <v>6.5</v>
      </c>
      <c r="G14" s="18" t="n">
        <v>3.94</v>
      </c>
    </row>
    <row r="15">
      <c r="A15" s="11" t="inlineStr">
        <is>
          <t>B</t>
        </is>
      </c>
      <c r="B15" s="12" t="n">
        <v>119</v>
      </c>
      <c r="C15" s="12" t="n">
        <v>101</v>
      </c>
      <c r="D15" s="12" t="n">
        <v>17</v>
      </c>
      <c r="E15" s="12" t="n">
        <v>1</v>
      </c>
      <c r="F15" s="13" t="n">
        <v>14.3</v>
      </c>
      <c r="G15" s="18" t="n">
        <v>3.95</v>
      </c>
    </row>
    <row r="16">
      <c r="A16" s="11" t="inlineStr">
        <is>
          <t>C</t>
        </is>
      </c>
      <c r="B16" s="12" t="n">
        <v>42</v>
      </c>
      <c r="C16" s="12" t="n">
        <v>29</v>
      </c>
      <c r="D16" s="12" t="n">
        <v>12</v>
      </c>
      <c r="E16" s="12" t="n">
        <v>1</v>
      </c>
      <c r="F16" s="13" t="n">
        <v>28.6</v>
      </c>
      <c r="G16" s="18" t="n">
        <v>4.49</v>
      </c>
    </row>
    <row r="17">
      <c r="A17" s="11" t="inlineStr">
        <is>
          <t>D</t>
        </is>
      </c>
      <c r="B17" s="12" t="n">
        <v>9</v>
      </c>
      <c r="C17" s="12" t="n">
        <v>6</v>
      </c>
      <c r="D17" s="12" t="n">
        <v>3</v>
      </c>
      <c r="E17" s="12" t="n">
        <v>0</v>
      </c>
      <c r="F17" s="13" t="n">
        <v>33.3</v>
      </c>
      <c r="G17" s="18" t="n">
        <v>5.57</v>
      </c>
    </row>
    <row r="18">
      <c r="A18" s="11" t="inlineStr">
        <is>
          <t>미평가(첫 평가 전 퇴사)</t>
        </is>
      </c>
      <c r="B18" s="12" t="n">
        <v>50</v>
      </c>
      <c r="C18" s="12" t="n">
        <v>16</v>
      </c>
      <c r="D18" s="12" t="n">
        <v>22</v>
      </c>
      <c r="E18" s="12" t="n">
        <v>12</v>
      </c>
      <c r="F18" s="13" t="n">
        <v>44</v>
      </c>
      <c r="G18" s="18" t="n">
        <v>0.93</v>
      </c>
    </row>
    <row r="19">
      <c r="A19" s="14" t="inlineStr">
        <is>
          <t>합계</t>
        </is>
      </c>
      <c r="B19" s="15" t="n">
        <v>284</v>
      </c>
      <c r="C19" s="15" t="n">
        <v>212</v>
      </c>
      <c r="D19" s="15" t="n">
        <v>58</v>
      </c>
      <c r="E19" s="15" t="n">
        <v>14</v>
      </c>
      <c r="F19" s="16" t="n">
        <v>20.4</v>
      </c>
      <c r="G19" s="19" t="n">
        <v>3.57</v>
      </c>
    </row>
  </sheetData>
  <autoFilter ref="A3:G8"/>
  <mergeCells count="2"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1" customWidth="1" min="2" max="2"/>
    <col width="12" customWidth="1" min="3" max="3"/>
    <col width="15" customWidth="1" min="4" max="4"/>
    <col width="13" customWidth="1" min="5" max="5"/>
    <col width="14" customWidth="1" min="6" max="6"/>
  </cols>
  <sheetData>
    <row r="1">
      <c r="A1" s="17" t="inlineStr">
        <is>
          <t>[핵심] 근속 구간별 이직</t>
        </is>
      </c>
    </row>
    <row r="2">
      <c r="A2" s="9" t="inlineStr">
        <is>
          <t>근속은 퇴사자는 입사일→퇴사일, 재직자는 입사일→2026-06-30. 평균등급점수는 등급 보유자의 최종등급 점수 평균(S=4 … D=0).</t>
        </is>
      </c>
    </row>
    <row r="3" ht="30" customHeight="1">
      <c r="A3" s="10" t="inlineStr">
        <is>
          <t>근속구간</t>
        </is>
      </c>
      <c r="B3" s="10" t="inlineStr">
        <is>
          <t>인원</t>
        </is>
      </c>
      <c r="C3" s="10" t="inlineStr">
        <is>
          <t>자발퇴사</t>
        </is>
      </c>
      <c r="D3" s="10" t="inlineStr">
        <is>
          <t>자발이직률(%)</t>
        </is>
      </c>
      <c r="E3" s="10" t="inlineStr">
        <is>
          <t>비자발퇴사</t>
        </is>
      </c>
      <c r="F3" s="10" t="inlineStr">
        <is>
          <t>평균등급점수</t>
        </is>
      </c>
    </row>
    <row r="4">
      <c r="A4" s="11" t="inlineStr">
        <is>
          <t>1년 미만</t>
        </is>
      </c>
      <c r="B4" s="12" t="n">
        <v>69</v>
      </c>
      <c r="C4" s="12" t="n">
        <v>15</v>
      </c>
      <c r="D4" s="13" t="n">
        <v>21.7</v>
      </c>
      <c r="E4" s="12" t="n">
        <v>10</v>
      </c>
      <c r="F4" s="18" t="n">
        <v>2.21</v>
      </c>
    </row>
    <row r="5">
      <c r="A5" s="11" t="inlineStr">
        <is>
          <t>1~2.5년</t>
        </is>
      </c>
      <c r="B5" s="12" t="n">
        <v>63</v>
      </c>
      <c r="C5" s="12" t="n">
        <v>21</v>
      </c>
      <c r="D5" s="13" t="n">
        <v>33.3</v>
      </c>
      <c r="E5" s="12" t="n">
        <v>2</v>
      </c>
      <c r="F5" s="18" t="n">
        <v>2.16</v>
      </c>
    </row>
    <row r="6">
      <c r="A6" s="11" t="inlineStr">
        <is>
          <t>2.5~5년</t>
        </is>
      </c>
      <c r="B6" s="12" t="n">
        <v>61</v>
      </c>
      <c r="C6" s="12" t="n">
        <v>15</v>
      </c>
      <c r="D6" s="13" t="n">
        <v>24.6</v>
      </c>
      <c r="E6" s="12" t="n">
        <v>1</v>
      </c>
      <c r="F6" s="18" t="n">
        <v>2.02</v>
      </c>
    </row>
    <row r="7">
      <c r="A7" s="11" t="inlineStr">
        <is>
          <t>5~10년</t>
        </is>
      </c>
      <c r="B7" s="12" t="n">
        <v>87</v>
      </c>
      <c r="C7" s="12" t="n">
        <v>7</v>
      </c>
      <c r="D7" s="13" t="n">
        <v>8</v>
      </c>
      <c r="E7" s="12" t="n">
        <v>1</v>
      </c>
      <c r="F7" s="18" t="n">
        <v>2.09</v>
      </c>
    </row>
    <row r="8">
      <c r="A8" s="11" t="inlineStr">
        <is>
          <t>10년 이상</t>
        </is>
      </c>
      <c r="B8" s="12" t="n">
        <v>4</v>
      </c>
      <c r="C8" s="12" t="n">
        <v>0</v>
      </c>
      <c r="D8" s="13" t="n">
        <v>0</v>
      </c>
      <c r="E8" s="12" t="n">
        <v>0</v>
      </c>
      <c r="F8" s="18" t="n">
        <v>1.25</v>
      </c>
    </row>
    <row r="9">
      <c r="A9" s="14" t="inlineStr">
        <is>
          <t>합계</t>
        </is>
      </c>
      <c r="B9" s="15" t="n">
        <v>284</v>
      </c>
      <c r="C9" s="15" t="n">
        <v>58</v>
      </c>
      <c r="D9" s="16" t="n">
        <v>20.4</v>
      </c>
      <c r="E9" s="15" t="n">
        <v>14</v>
      </c>
      <c r="F9" s="19" t="n">
        <v>2.09</v>
      </c>
    </row>
  </sheetData>
  <autoFilter ref="A3:F9"/>
  <mergeCells count="2">
    <mergeCell ref="A2:F2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4" customWidth="1" min="4" max="4"/>
    <col width="14" customWidth="1" min="5" max="5"/>
    <col width="20" customWidth="1" min="6" max="6"/>
  </cols>
  <sheetData>
    <row r="1">
      <c r="A1" s="8" t="inlineStr">
        <is>
          <t>퇴사 사유별 분석 (자발·비자발 전체)</t>
        </is>
      </c>
    </row>
    <row r="2">
      <c r="A2" s="9" t="inlineStr">
        <is>
          <t>roster.py 가 실제로 부여한 term_reason 값을 그대로 집계했다. 자발 사유를 먼저 배치하고 그 안에서 건수 내림차순으로 정렬했다. 주요본부는 해당 사유의 최다 본부와 그 건수. 평균등급점수가 빈 칸이면 그 사유의 퇴사자가 전원 첫 평가 전에 나가 등급 이력이 없다는 뜻이다 (0점=D등급과 구분하기 위해 비워 둔다).</t>
        </is>
      </c>
    </row>
    <row r="3" ht="30" customHeight="1">
      <c r="A3" s="10" t="inlineStr">
        <is>
          <t>퇴사사유</t>
        </is>
      </c>
      <c r="B3" s="10" t="inlineStr">
        <is>
          <t>건수</t>
        </is>
      </c>
      <c r="C3" s="10" t="inlineStr">
        <is>
          <t>비중(%)</t>
        </is>
      </c>
      <c r="D3" s="10" t="inlineStr">
        <is>
          <t>평균근속(년)</t>
        </is>
      </c>
      <c r="E3" s="10" t="inlineStr">
        <is>
          <t>평균등급점수</t>
        </is>
      </c>
      <c r="F3" s="10" t="inlineStr">
        <is>
          <t>주요본부</t>
        </is>
      </c>
    </row>
    <row r="4">
      <c r="A4" s="11" t="inlineStr">
        <is>
          <t>이직(타사)</t>
        </is>
      </c>
      <c r="B4" s="12" t="n">
        <v>27</v>
      </c>
      <c r="C4" s="13" t="n">
        <v>37.5</v>
      </c>
      <c r="D4" s="18" t="n">
        <v>2.05</v>
      </c>
      <c r="E4" s="18" t="n">
        <v>1.86</v>
      </c>
      <c r="F4" s="22" t="inlineStr">
        <is>
          <t>데이터본부(8)</t>
        </is>
      </c>
    </row>
    <row r="5">
      <c r="A5" s="11" t="inlineStr">
        <is>
          <t>개인사유</t>
        </is>
      </c>
      <c r="B5" s="12" t="n">
        <v>21</v>
      </c>
      <c r="C5" s="13" t="n">
        <v>29.2</v>
      </c>
      <c r="D5" s="18" t="n">
        <v>3.1</v>
      </c>
      <c r="E5" s="18" t="n">
        <v>1.33</v>
      </c>
      <c r="F5" s="22" t="inlineStr">
        <is>
          <t>서비스개발본부(6)</t>
        </is>
      </c>
    </row>
    <row r="6">
      <c r="A6" s="11" t="inlineStr">
        <is>
          <t>창업/이직준비</t>
        </is>
      </c>
      <c r="B6" s="12" t="n">
        <v>9</v>
      </c>
      <c r="C6" s="13" t="n">
        <v>12.5</v>
      </c>
      <c r="D6" s="18" t="n">
        <v>2.31</v>
      </c>
      <c r="E6" s="18" t="n">
        <v>1.86</v>
      </c>
      <c r="F6" s="22" t="inlineStr">
        <is>
          <t>서비스개발본부(4)</t>
        </is>
      </c>
    </row>
    <row r="7">
      <c r="A7" s="11" t="inlineStr">
        <is>
          <t>수습 중 자진 퇴사</t>
        </is>
      </c>
      <c r="B7" s="12" t="n">
        <v>1</v>
      </c>
      <c r="C7" s="13" t="n">
        <v>1.4</v>
      </c>
      <c r="D7" s="18" t="n">
        <v>0.3</v>
      </c>
      <c r="E7" s="18" t="n"/>
      <c r="F7" s="22" t="inlineStr">
        <is>
          <t>경영지원본부(1)</t>
        </is>
      </c>
    </row>
    <row r="8">
      <c r="A8" s="11" t="inlineStr">
        <is>
          <t>수습 미전환</t>
        </is>
      </c>
      <c r="B8" s="12" t="n">
        <v>10</v>
      </c>
      <c r="C8" s="13" t="n">
        <v>13.9</v>
      </c>
      <c r="D8" s="18" t="n">
        <v>0.32</v>
      </c>
      <c r="E8" s="18" t="n"/>
      <c r="F8" s="22" t="inlineStr">
        <is>
          <t>서비스개발본부(3)</t>
        </is>
      </c>
    </row>
    <row r="9">
      <c r="A9" s="11" t="inlineStr">
        <is>
          <t>계약 종료</t>
        </is>
      </c>
      <c r="B9" s="12" t="n">
        <v>3</v>
      </c>
      <c r="C9" s="13" t="n">
        <v>4.2</v>
      </c>
      <c r="D9" s="18" t="n">
        <v>3.47</v>
      </c>
      <c r="E9" s="18" t="n">
        <v>1.5</v>
      </c>
      <c r="F9" s="22" t="inlineStr">
        <is>
          <t>데이터본부(1)</t>
        </is>
      </c>
    </row>
    <row r="10">
      <c r="A10" s="11" t="inlineStr">
        <is>
          <t>성과 미달</t>
        </is>
      </c>
      <c r="B10" s="12" t="n">
        <v>1</v>
      </c>
      <c r="C10" s="13" t="n">
        <v>1.4</v>
      </c>
      <c r="D10" s="18" t="n">
        <v>3</v>
      </c>
      <c r="E10" s="18" t="n"/>
      <c r="F10" s="22" t="inlineStr">
        <is>
          <t>사업본부(1)</t>
        </is>
      </c>
    </row>
    <row r="11">
      <c r="A11" s="14" t="inlineStr">
        <is>
          <t>합계</t>
        </is>
      </c>
      <c r="B11" s="15" t="n">
        <v>72</v>
      </c>
      <c r="C11" s="16" t="n">
        <v>100</v>
      </c>
      <c r="D11" s="19" t="n">
        <v>2.2</v>
      </c>
      <c r="E11" s="19" t="n">
        <v>1.63</v>
      </c>
      <c r="F11" s="23" t="inlineStr">
        <is>
          <t>서비스개발본부(18)</t>
        </is>
      </c>
    </row>
  </sheetData>
  <autoFilter ref="A3:F11"/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</cols>
  <sheetData>
    <row r="1">
      <c r="A1" s="8" t="inlineStr">
        <is>
          <t>분기별 인력 이동 (2024-Q1 ~ 2026-Q2)</t>
        </is>
      </c>
    </row>
    <row r="2">
      <c r="A2" s="9" t="inlineStr">
        <is>
          <t>모든 값은 개인 로스터에서 직접 집계했으며, data.QUARTERS 와 전부 일치함을 생성 시 검증했다. 분기이직률 = 자발퇴사 ÷ 평균인원((기초+기말)/2) × 100 — data.year_summary() 의 이직률 정의와 같다(연환산 아님).</t>
        </is>
      </c>
    </row>
    <row r="3" ht="30" customHeight="1">
      <c r="A3" s="10" t="inlineStr">
        <is>
          <t>분기</t>
        </is>
      </c>
      <c r="B3" s="10" t="inlineStr">
        <is>
          <t>기초</t>
        </is>
      </c>
      <c r="C3" s="10" t="inlineStr">
        <is>
          <t>채용</t>
        </is>
      </c>
      <c r="D3" s="10" t="inlineStr">
        <is>
          <t>퇴사</t>
        </is>
      </c>
      <c r="E3" s="10" t="inlineStr">
        <is>
          <t>자발</t>
        </is>
      </c>
      <c r="F3" s="10" t="inlineStr">
        <is>
          <t>비자발</t>
        </is>
      </c>
      <c r="G3" s="10" t="inlineStr">
        <is>
          <t>기말</t>
        </is>
      </c>
      <c r="H3" s="10" t="inlineStr">
        <is>
          <t>순증</t>
        </is>
      </c>
      <c r="I3" s="10" t="inlineStr">
        <is>
          <t>분기이직률(%)</t>
        </is>
      </c>
    </row>
    <row r="4">
      <c r="A4" s="11" t="inlineStr">
        <is>
          <t>2024-Q1</t>
        </is>
      </c>
      <c r="B4" s="12" t="n">
        <v>165</v>
      </c>
      <c r="C4" s="12" t="n">
        <v>12</v>
      </c>
      <c r="D4" s="12" t="n">
        <v>7</v>
      </c>
      <c r="E4" s="12" t="n">
        <v>5</v>
      </c>
      <c r="F4" s="12" t="n">
        <v>2</v>
      </c>
      <c r="G4" s="12" t="n">
        <v>170</v>
      </c>
      <c r="H4" s="12" t="n">
        <v>5</v>
      </c>
      <c r="I4" s="13" t="n">
        <v>3</v>
      </c>
    </row>
    <row r="5">
      <c r="A5" s="11" t="inlineStr">
        <is>
          <t>2024-Q2</t>
        </is>
      </c>
      <c r="B5" s="12" t="n">
        <v>170</v>
      </c>
      <c r="C5" s="12" t="n">
        <v>10</v>
      </c>
      <c r="D5" s="12" t="n">
        <v>8</v>
      </c>
      <c r="E5" s="12" t="n">
        <v>7</v>
      </c>
      <c r="F5" s="12" t="n">
        <v>1</v>
      </c>
      <c r="G5" s="12" t="n">
        <v>172</v>
      </c>
      <c r="H5" s="12" t="n">
        <v>2</v>
      </c>
      <c r="I5" s="13" t="n">
        <v>4.1</v>
      </c>
    </row>
    <row r="6">
      <c r="A6" s="11" t="inlineStr">
        <is>
          <t>2024-Q3</t>
        </is>
      </c>
      <c r="B6" s="12" t="n">
        <v>172</v>
      </c>
      <c r="C6" s="12" t="n">
        <v>9</v>
      </c>
      <c r="D6" s="12" t="n">
        <v>6</v>
      </c>
      <c r="E6" s="12" t="n">
        <v>5</v>
      </c>
      <c r="F6" s="12" t="n">
        <v>1</v>
      </c>
      <c r="G6" s="12" t="n">
        <v>175</v>
      </c>
      <c r="H6" s="12" t="n">
        <v>3</v>
      </c>
      <c r="I6" s="13" t="n">
        <v>2.9</v>
      </c>
    </row>
    <row r="7">
      <c r="A7" s="11" t="inlineStr">
        <is>
          <t>2024-Q4</t>
        </is>
      </c>
      <c r="B7" s="12" t="n">
        <v>175</v>
      </c>
      <c r="C7" s="12" t="n">
        <v>11</v>
      </c>
      <c r="D7" s="12" t="n">
        <v>6</v>
      </c>
      <c r="E7" s="12" t="n">
        <v>4</v>
      </c>
      <c r="F7" s="12" t="n">
        <v>2</v>
      </c>
      <c r="G7" s="12" t="n">
        <v>180</v>
      </c>
      <c r="H7" s="12" t="n">
        <v>5</v>
      </c>
      <c r="I7" s="13" t="n">
        <v>2.3</v>
      </c>
    </row>
    <row r="8">
      <c r="A8" s="11" t="inlineStr">
        <is>
          <t>2025-Q1</t>
        </is>
      </c>
      <c r="B8" s="12" t="n">
        <v>180</v>
      </c>
      <c r="C8" s="12" t="n">
        <v>13</v>
      </c>
      <c r="D8" s="12" t="n">
        <v>9</v>
      </c>
      <c r="E8" s="12" t="n">
        <v>8</v>
      </c>
      <c r="F8" s="12" t="n">
        <v>1</v>
      </c>
      <c r="G8" s="12" t="n">
        <v>184</v>
      </c>
      <c r="H8" s="12" t="n">
        <v>4</v>
      </c>
      <c r="I8" s="13" t="n">
        <v>4.4</v>
      </c>
    </row>
    <row r="9">
      <c r="A9" s="11" t="inlineStr">
        <is>
          <t>2025-Q2</t>
        </is>
      </c>
      <c r="B9" s="12" t="n">
        <v>184</v>
      </c>
      <c r="C9" s="12" t="n">
        <v>12</v>
      </c>
      <c r="D9" s="12" t="n">
        <v>7</v>
      </c>
      <c r="E9" s="12" t="n">
        <v>6</v>
      </c>
      <c r="F9" s="12" t="n">
        <v>1</v>
      </c>
      <c r="G9" s="12" t="n">
        <v>189</v>
      </c>
      <c r="H9" s="12" t="n">
        <v>5</v>
      </c>
      <c r="I9" s="13" t="n">
        <v>3.2</v>
      </c>
    </row>
    <row r="10">
      <c r="A10" s="11" t="inlineStr">
        <is>
          <t>2025-Q3</t>
        </is>
      </c>
      <c r="B10" s="12" t="n">
        <v>189</v>
      </c>
      <c r="C10" s="12" t="n">
        <v>10</v>
      </c>
      <c r="D10" s="12" t="n">
        <v>8</v>
      </c>
      <c r="E10" s="12" t="n">
        <v>7</v>
      </c>
      <c r="F10" s="12" t="n">
        <v>1</v>
      </c>
      <c r="G10" s="12" t="n">
        <v>191</v>
      </c>
      <c r="H10" s="12" t="n">
        <v>2</v>
      </c>
      <c r="I10" s="13" t="n">
        <v>3.7</v>
      </c>
    </row>
    <row r="11">
      <c r="A11" s="11" t="inlineStr">
        <is>
          <t>2025-Q4</t>
        </is>
      </c>
      <c r="B11" s="12" t="n">
        <v>191</v>
      </c>
      <c r="C11" s="12" t="n">
        <v>14</v>
      </c>
      <c r="D11" s="12" t="n">
        <v>7</v>
      </c>
      <c r="E11" s="12" t="n">
        <v>5</v>
      </c>
      <c r="F11" s="12" t="n">
        <v>2</v>
      </c>
      <c r="G11" s="12" t="n">
        <v>198</v>
      </c>
      <c r="H11" s="12" t="n">
        <v>7</v>
      </c>
      <c r="I11" s="13" t="n">
        <v>2.6</v>
      </c>
    </row>
    <row r="12">
      <c r="A12" s="11" t="inlineStr">
        <is>
          <t>2026-Q1</t>
        </is>
      </c>
      <c r="B12" s="12" t="n">
        <v>198</v>
      </c>
      <c r="C12" s="12" t="n">
        <v>12</v>
      </c>
      <c r="D12" s="12" t="n">
        <v>7</v>
      </c>
      <c r="E12" s="12" t="n">
        <v>5</v>
      </c>
      <c r="F12" s="12" t="n">
        <v>2</v>
      </c>
      <c r="G12" s="12" t="n">
        <v>203</v>
      </c>
      <c r="H12" s="12" t="n">
        <v>5</v>
      </c>
      <c r="I12" s="13" t="n">
        <v>2.5</v>
      </c>
    </row>
    <row r="13">
      <c r="A13" s="11" t="inlineStr">
        <is>
          <t>2026-Q2</t>
        </is>
      </c>
      <c r="B13" s="12" t="n">
        <v>203</v>
      </c>
      <c r="C13" s="12" t="n">
        <v>16</v>
      </c>
      <c r="D13" s="12" t="n">
        <v>7</v>
      </c>
      <c r="E13" s="12" t="n">
        <v>6</v>
      </c>
      <c r="F13" s="12" t="n">
        <v>1</v>
      </c>
      <c r="G13" s="12" t="n">
        <v>212</v>
      </c>
      <c r="H13" s="12" t="n">
        <v>9</v>
      </c>
      <c r="I13" s="13" t="n">
        <v>2.9</v>
      </c>
    </row>
    <row r="14">
      <c r="A14" s="14" t="inlineStr">
        <is>
          <t>합계(10개 분기)</t>
        </is>
      </c>
      <c r="B14" s="15" t="n">
        <v>165</v>
      </c>
      <c r="C14" s="15" t="n">
        <v>119</v>
      </c>
      <c r="D14" s="15" t="n">
        <v>72</v>
      </c>
      <c r="E14" s="15" t="n">
        <v>58</v>
      </c>
      <c r="F14" s="15" t="n">
        <v>14</v>
      </c>
      <c r="G14" s="15" t="n">
        <v>212</v>
      </c>
      <c r="H14" s="15" t="n">
        <v>47</v>
      </c>
      <c r="I14" s="16" t="n">
        <v>31.3</v>
      </c>
    </row>
  </sheetData>
  <autoFilter ref="A3:I14"/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2026-08-26T09:44:37Z</dcterms:created>
  <dcterms:modified xmlns:dcterms="http://purl.org/dc/terms/" xmlns:xsi="http://www.w3.org/2001/XMLSchema-instance" xsi:type="dcterms:W3CDTF">2026-08-26T09:44:37Z</dcterms:modified>
</cp:coreProperties>
</file>